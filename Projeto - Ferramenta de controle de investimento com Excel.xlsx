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A\OneDrive\"/>
    </mc:Choice>
  </mc:AlternateContent>
  <bookViews>
    <workbookView xWindow="0" yWindow="0" windowWidth="20490" windowHeight="7650"/>
  </bookViews>
  <sheets>
    <sheet name="Projeto-Controle de Investimeto" sheetId="1" r:id="rId1"/>
    <sheet name="Planilha2" sheetId="2" r:id="rId2"/>
  </sheets>
  <definedNames>
    <definedName name="Aporte">'Projeto-Controle de Investimeto'!$D$17</definedName>
    <definedName name="qtd_anos">'Projeto-Controle de Investimeto'!$D$18</definedName>
    <definedName name="Rendimento_Carteira">'Projeto-Controle de Investimeto'!$D$13</definedName>
    <definedName name="taxa_mensal">'Projeto-Controle de Investimeto'!$D$19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2" l="1"/>
  <c r="A13" i="2"/>
  <c r="C36" i="1"/>
  <c r="C37" i="1"/>
  <c r="C38" i="1"/>
  <c r="C39" i="1"/>
  <c r="C40" i="1"/>
  <c r="D40" i="1" s="1"/>
  <c r="C35" i="1"/>
  <c r="H3" i="2"/>
  <c r="A9" i="2"/>
  <c r="A10" i="2"/>
  <c r="A11" i="2"/>
  <c r="A12" i="2"/>
  <c r="A14" i="2"/>
  <c r="A15" i="2"/>
  <c r="A16" i="2"/>
  <c r="A17" i="2"/>
  <c r="A18" i="2"/>
  <c r="A20" i="2"/>
  <c r="A4" i="2"/>
  <c r="A5" i="2"/>
  <c r="A6" i="2"/>
  <c r="A7" i="2"/>
  <c r="A8" i="2"/>
  <c r="A3" i="2"/>
  <c r="C32" i="1"/>
  <c r="D35" i="1" l="1"/>
  <c r="D39" i="1"/>
  <c r="D37" i="1"/>
  <c r="D38" i="1"/>
  <c r="D36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1" i="1" l="1"/>
</calcChain>
</file>

<file path=xl/sharedStrings.xml><?xml version="1.0" encoding="utf-8"?>
<sst xmlns="http://schemas.openxmlformats.org/spreadsheetml/2006/main" count="71" uniqueCount="34">
  <si>
    <t>Taxa de rendimento mensal?</t>
  </si>
  <si>
    <t>Quanto de patrimônio acumulado ?</t>
  </si>
  <si>
    <t>Dividendos mensais?</t>
  </si>
  <si>
    <t>Investimento Mensal</t>
  </si>
  <si>
    <t>Por quantos ano?</t>
  </si>
  <si>
    <t>Quanto investir por mês?</t>
  </si>
  <si>
    <t>Quanto em 2 anos ?</t>
  </si>
  <si>
    <t>Quanto em 5 anos ?</t>
  </si>
  <si>
    <t>Quanto em 10 anos ?</t>
  </si>
  <si>
    <t>Quanto em 30 anos ?</t>
  </si>
  <si>
    <t>Quanto em 20 anos ?</t>
  </si>
  <si>
    <t>Cenários</t>
  </si>
  <si>
    <t>Dividendos</t>
  </si>
  <si>
    <t>Configurações</t>
  </si>
  <si>
    <t>Salário</t>
  </si>
  <si>
    <t>Rendimento Carteira ?</t>
  </si>
  <si>
    <t>Agressivo</t>
  </si>
  <si>
    <t>Conservador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</si>
  <si>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</si>
  <si>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</si>
  <si>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</si>
  <si>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</si>
  <si>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</si>
  <si>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</si>
  <si>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</si>
  <si>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</si>
  <si>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</si>
  <si>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FOF`s</t>
  </si>
  <si>
    <t>HOTELARIA</t>
  </si>
  <si>
    <t>%</t>
  </si>
  <si>
    <t>DESENVOLVIMENTO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</si>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</sst>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0.0%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8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14996795556505021"/>
      </left>
      <right style="medium">
        <color indexed="64"/>
      </right>
      <top style="medium">
        <color theme="2" tint="-0.2499465926084170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thin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6" fillId="3" borderId="3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indent="2"/>
    </xf>
    <xf numFmtId="0" fontId="5" fillId="0" borderId="14" xfId="0" applyFont="1" applyBorder="1" applyAlignment="1">
      <alignment horizontal="left" indent="2"/>
    </xf>
    <xf numFmtId="168" fontId="7" fillId="0" borderId="15" xfId="1" applyNumberFormat="1" applyFont="1" applyBorder="1" applyAlignment="1">
      <alignment horizontal="center"/>
    </xf>
    <xf numFmtId="0" fontId="5" fillId="0" borderId="7" xfId="0" applyFont="1" applyBorder="1" applyAlignment="1">
      <alignment horizontal="left" indent="2"/>
    </xf>
    <xf numFmtId="0" fontId="5" fillId="0" borderId="8" xfId="0" applyFont="1" applyBorder="1" applyAlignment="1">
      <alignment horizontal="left" indent="2"/>
    </xf>
    <xf numFmtId="0" fontId="7" fillId="0" borderId="9" xfId="0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9" fillId="4" borderId="7" xfId="0" applyFont="1" applyFill="1" applyBorder="1" applyAlignment="1">
      <alignment horizontal="left" indent="2"/>
    </xf>
    <xf numFmtId="0" fontId="9" fillId="4" borderId="8" xfId="0" applyFont="1" applyFill="1" applyBorder="1" applyAlignment="1">
      <alignment horizontal="left" indent="2"/>
    </xf>
    <xf numFmtId="8" fontId="7" fillId="4" borderId="9" xfId="0" applyNumberFormat="1" applyFont="1" applyFill="1" applyBorder="1" applyAlignment="1">
      <alignment horizontal="center"/>
    </xf>
    <xf numFmtId="0" fontId="9" fillId="4" borderId="10" xfId="0" applyFont="1" applyFill="1" applyBorder="1" applyAlignment="1">
      <alignment horizontal="left" indent="2"/>
    </xf>
    <xf numFmtId="0" fontId="9" fillId="4" borderId="11" xfId="0" applyFont="1" applyFill="1" applyBorder="1" applyAlignment="1">
      <alignment horizontal="left" indent="2"/>
    </xf>
    <xf numFmtId="8" fontId="7" fillId="4" borderId="12" xfId="0" applyNumberFormat="1" applyFont="1" applyFill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8" fontId="0" fillId="0" borderId="12" xfId="0" applyNumberFormat="1" applyBorder="1" applyAlignment="1">
      <alignment horizontal="center"/>
    </xf>
    <xf numFmtId="0" fontId="5" fillId="4" borderId="13" xfId="0" applyFont="1" applyFill="1" applyBorder="1" applyAlignment="1">
      <alignment horizontal="left" indent="2"/>
    </xf>
    <xf numFmtId="0" fontId="5" fillId="4" borderId="14" xfId="0" applyFont="1" applyFill="1" applyBorder="1" applyAlignment="1">
      <alignment horizontal="left" indent="2"/>
    </xf>
    <xf numFmtId="0" fontId="5" fillId="4" borderId="7" xfId="0" applyFont="1" applyFill="1" applyBorder="1" applyAlignment="1">
      <alignment horizontal="left" indent="2"/>
    </xf>
    <xf numFmtId="0" fontId="5" fillId="4" borderId="8" xfId="0" applyFont="1" applyFill="1" applyBorder="1" applyAlignment="1">
      <alignment horizontal="left" indent="2"/>
    </xf>
    <xf numFmtId="0" fontId="5" fillId="4" borderId="10" xfId="0" applyFont="1" applyFill="1" applyBorder="1" applyAlignment="1">
      <alignment horizontal="left" indent="2"/>
    </xf>
    <xf numFmtId="0" fontId="5" fillId="4" borderId="11" xfId="0" applyFont="1" applyFill="1" applyBorder="1" applyAlignment="1">
      <alignment horizontal="left" indent="2"/>
    </xf>
    <xf numFmtId="0" fontId="5" fillId="4" borderId="7" xfId="0" applyFont="1" applyFill="1" applyBorder="1" applyAlignment="1">
      <alignment horizontal="left" indent="2"/>
    </xf>
    <xf numFmtId="168" fontId="3" fillId="4" borderId="8" xfId="0" applyNumberFormat="1" applyFont="1" applyFill="1" applyBorder="1" applyAlignment="1">
      <alignment horizontal="center"/>
    </xf>
    <xf numFmtId="168" fontId="0" fillId="4" borderId="9" xfId="0" applyNumberFormat="1" applyFill="1" applyBorder="1" applyAlignment="1">
      <alignment horizontal="center"/>
    </xf>
    <xf numFmtId="0" fontId="5" fillId="4" borderId="10" xfId="0" applyFont="1" applyFill="1" applyBorder="1" applyAlignment="1">
      <alignment horizontal="left" indent="2"/>
    </xf>
    <xf numFmtId="168" fontId="3" fillId="4" borderId="11" xfId="0" applyNumberFormat="1" applyFont="1" applyFill="1" applyBorder="1" applyAlignment="1">
      <alignment horizontal="center"/>
    </xf>
    <xf numFmtId="168" fontId="0" fillId="4" borderId="12" xfId="0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left" indent="2"/>
    </xf>
    <xf numFmtId="168" fontId="3" fillId="4" borderId="14" xfId="0" applyNumberFormat="1" applyFont="1" applyFill="1" applyBorder="1" applyAlignment="1">
      <alignment horizontal="center"/>
    </xf>
    <xf numFmtId="168" fontId="0" fillId="4" borderId="16" xfId="0" applyNumberFormat="1" applyFill="1" applyBorder="1" applyAlignment="1">
      <alignment horizontal="center"/>
    </xf>
    <xf numFmtId="0" fontId="6" fillId="3" borderId="17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2" fillId="2" borderId="0" xfId="2" applyBorder="1" applyAlignment="1">
      <alignment horizontal="left" indent="2"/>
    </xf>
    <xf numFmtId="0" fontId="2" fillId="2" borderId="0" xfId="2"/>
    <xf numFmtId="0" fontId="0" fillId="6" borderId="0" xfId="0" applyFill="1"/>
    <xf numFmtId="0" fontId="2" fillId="2" borderId="0" xfId="2" applyAlignment="1">
      <alignment horizontal="center"/>
    </xf>
    <xf numFmtId="0" fontId="3" fillId="6" borderId="0" xfId="0" applyFont="1" applyFill="1"/>
    <xf numFmtId="168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168" fontId="0" fillId="7" borderId="0" xfId="0" applyNumberFormat="1" applyFill="1"/>
    <xf numFmtId="0" fontId="0" fillId="0" borderId="0" xfId="0" applyAlignment="1">
      <alignment horizontal="left" indent="2"/>
    </xf>
    <xf numFmtId="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</cellXfs>
  <cellStyles count="3">
    <cellStyle name="Moeda" xfId="1" builtinId="4"/>
    <cellStyle name="Neutra" xfId="2" builtinId="28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'Projeto-Controle de Investimeto'!$B$35:$B$40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FOF`s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'Projeto-Controle de Investimeto'!$C$35:$C$40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9-48C9-86B8-22D1BCA6DF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104774</xdr:colOff>
      <xdr:row>0</xdr:row>
      <xdr:rowOff>97420</xdr:rowOff>
    </xdr:from>
    <xdr:to>
      <xdr:col>4</xdr:col>
      <xdr:colOff>361950</xdr:colOff>
      <xdr:row>8</xdr:row>
      <xdr:rowOff>152399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97420"/>
          <a:ext cx="6515101" cy="157897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  <xdr:twoCellAnchor>
    <xdr:from>
      <xdr:col>0</xdr:col>
      <xdr:colOff>290512</xdr:colOff>
      <xdr:row>41</xdr:row>
      <xdr:rowOff>152400</xdr:rowOff>
    </xdr:from>
    <xdr:to>
      <xdr:col>3</xdr:col>
      <xdr:colOff>100012</xdr:colOff>
      <xdr:row>56</xdr:row>
      <xdr:rowOff>38100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41"/>
  <sheetViews>
    <sheetView showGridLines="0" tabSelected="1" topLeftCell="A34" workbookViewId="0">
      <selection activeCell="E11" sqref="E11"/>
    </sheetView>
  </sheetViews>
  <sheetFormatPr defaultColWidth="0" defaultRowHeight="15" x14ac:dyDescent="0.25"/>
  <cols>
    <col min="1" max="1" width="4.7109375" customWidth="1"/>
    <col min="2" max="2" width="36.42578125" customWidth="1"/>
    <col min="3" max="3" width="30.28515625" bestFit="1" customWidth="1"/>
    <col min="4" max="4" width="22.42578125" customWidth="1"/>
    <col min="5" max="5" width="18" customWidth="1"/>
    <col min="6" max="6" width="1.7109375" customWidth="1"/>
    <col min="7" max="8" width="1.7109375" hidden="1"/>
    <col min="9" max="16384" width="9.140625" hidden="1"/>
  </cols>
  <sheetData>
    <row r="10" spans="2:4" ht="15.75" thickBot="1" x14ac:dyDescent="0.3"/>
    <row r="11" spans="2:4" ht="32.25" customHeight="1" thickBot="1" x14ac:dyDescent="0.3">
      <c r="B11" s="7" t="s">
        <v>13</v>
      </c>
      <c r="C11" s="8"/>
      <c r="D11" s="9"/>
    </row>
    <row r="12" spans="2:4" ht="16.5" thickBot="1" x14ac:dyDescent="0.3">
      <c r="B12" s="26" t="s">
        <v>14</v>
      </c>
      <c r="C12" s="27"/>
      <c r="D12" s="23">
        <v>4000</v>
      </c>
    </row>
    <row r="13" spans="2:4" ht="16.5" thickBot="1" x14ac:dyDescent="0.3">
      <c r="B13" s="28" t="s">
        <v>15</v>
      </c>
      <c r="C13" s="29"/>
      <c r="D13" s="24">
        <v>8.9999999999999993E-3</v>
      </c>
    </row>
    <row r="14" spans="2:4" ht="16.5" thickBot="1" x14ac:dyDescent="0.3">
      <c r="B14" s="30" t="s">
        <v>33</v>
      </c>
      <c r="C14" s="31"/>
      <c r="D14" s="25">
        <f>D12*30%</f>
        <v>1200</v>
      </c>
    </row>
    <row r="15" spans="2:4" ht="15.75" thickBot="1" x14ac:dyDescent="0.3"/>
    <row r="16" spans="2:4" ht="32.25" customHeight="1" x14ac:dyDescent="0.25">
      <c r="B16" s="4" t="s">
        <v>3</v>
      </c>
      <c r="C16" s="5"/>
      <c r="D16" s="6"/>
    </row>
    <row r="17" spans="1:4" ht="19.5" customHeight="1" thickBot="1" x14ac:dyDescent="0.35">
      <c r="B17" s="10" t="s">
        <v>5</v>
      </c>
      <c r="C17" s="11"/>
      <c r="D17" s="12">
        <v>1200</v>
      </c>
    </row>
    <row r="18" spans="1:4" ht="19.5" customHeight="1" thickBot="1" x14ac:dyDescent="0.35">
      <c r="B18" s="13" t="s">
        <v>4</v>
      </c>
      <c r="C18" s="14"/>
      <c r="D18" s="15">
        <v>3</v>
      </c>
    </row>
    <row r="19" spans="1:4" ht="19.5" customHeight="1" thickBot="1" x14ac:dyDescent="0.35">
      <c r="B19" s="13" t="s">
        <v>0</v>
      </c>
      <c r="C19" s="14"/>
      <c r="D19" s="16">
        <v>1.0789999999999999E-2</v>
      </c>
    </row>
    <row r="20" spans="1:4" ht="19.5" customHeight="1" thickBot="1" x14ac:dyDescent="0.35">
      <c r="B20" s="17" t="s">
        <v>1</v>
      </c>
      <c r="C20" s="18"/>
      <c r="D20" s="19">
        <f>FV(taxa_mensal,qtd_anos*12,D17*-1)</f>
        <v>52450.048827626531</v>
      </c>
    </row>
    <row r="21" spans="1:4" ht="19.5" customHeight="1" thickBot="1" x14ac:dyDescent="0.35">
      <c r="B21" s="20" t="s">
        <v>2</v>
      </c>
      <c r="C21" s="21"/>
      <c r="D21" s="22">
        <f>D20*$D$13</f>
        <v>472.05043944863877</v>
      </c>
    </row>
    <row r="22" spans="1:4" ht="15.75" thickBot="1" x14ac:dyDescent="0.3"/>
    <row r="23" spans="1:4" ht="32.25" customHeight="1" thickBot="1" x14ac:dyDescent="0.3">
      <c r="B23" s="1" t="s">
        <v>11</v>
      </c>
      <c r="C23" s="41"/>
      <c r="D23" s="42" t="s">
        <v>12</v>
      </c>
    </row>
    <row r="24" spans="1:4" ht="19.5" customHeight="1" thickBot="1" x14ac:dyDescent="0.3">
      <c r="A24" s="2">
        <v>2</v>
      </c>
      <c r="B24" s="38" t="s">
        <v>6</v>
      </c>
      <c r="C24" s="39">
        <f>FV($D$19,$A24*12,$D$17*-1)</f>
        <v>32673.152757174259</v>
      </c>
      <c r="D24" s="40">
        <f>C24*Rendimento_Carteira</f>
        <v>294.05837481456831</v>
      </c>
    </row>
    <row r="25" spans="1:4" ht="19.5" customHeight="1" thickBot="1" x14ac:dyDescent="0.3">
      <c r="A25" s="2">
        <v>5</v>
      </c>
      <c r="B25" s="32" t="s">
        <v>7</v>
      </c>
      <c r="C25" s="33">
        <f>FV($D$19,$A25*12,$D$17*-1)</f>
        <v>100532.29679818517</v>
      </c>
      <c r="D25" s="34">
        <f>C25*Rendimento_Carteira</f>
        <v>904.7906711836664</v>
      </c>
    </row>
    <row r="26" spans="1:4" ht="19.5" customHeight="1" thickBot="1" x14ac:dyDescent="0.3">
      <c r="A26" s="2">
        <v>10</v>
      </c>
      <c r="B26" s="32" t="s">
        <v>8</v>
      </c>
      <c r="C26" s="33">
        <f>FV($D$19,$A26*12,$D$17*-1)</f>
        <v>291941.05503620661</v>
      </c>
      <c r="D26" s="34">
        <f>C26*Rendimento_Carteira</f>
        <v>2627.4694953258595</v>
      </c>
    </row>
    <row r="27" spans="1:4" ht="19.5" customHeight="1" thickBot="1" x14ac:dyDescent="0.3">
      <c r="A27" s="2">
        <v>20</v>
      </c>
      <c r="B27" s="32" t="s">
        <v>10</v>
      </c>
      <c r="C27" s="33">
        <f>FV($D$19,$A27*12,$D$17*-1)</f>
        <v>1350238.0801164967</v>
      </c>
      <c r="D27" s="34">
        <f>C27*Rendimento_Carteira</f>
        <v>12152.142721048469</v>
      </c>
    </row>
    <row r="28" spans="1:4" ht="19.5" customHeight="1" thickBot="1" x14ac:dyDescent="0.3">
      <c r="A28" s="2">
        <v>30</v>
      </c>
      <c r="B28" s="35" t="s">
        <v>9</v>
      </c>
      <c r="C28" s="36">
        <f>FV($D$19,$A28*12,$D$17*-1)</f>
        <v>5186603.586005657</v>
      </c>
      <c r="D28" s="37">
        <f>C28*Rendimento_Carteira</f>
        <v>46679.432274050909</v>
      </c>
    </row>
    <row r="31" spans="1:4" x14ac:dyDescent="0.25">
      <c r="B31" s="43" t="s">
        <v>20</v>
      </c>
      <c r="C31" s="46" t="s">
        <v>17</v>
      </c>
      <c r="D31" s="44"/>
    </row>
    <row r="32" spans="1:4" x14ac:dyDescent="0.25">
      <c r="B32" s="47" t="s">
        <v>19</v>
      </c>
      <c r="C32" s="48">
        <f>Aporte</f>
        <v>1200</v>
      </c>
      <c r="D32" s="45"/>
    </row>
    <row r="34" spans="2:4" x14ac:dyDescent="0.25">
      <c r="B34" s="49" t="s">
        <v>21</v>
      </c>
      <c r="C34" s="49" t="s">
        <v>22</v>
      </c>
      <c r="D34" s="49" t="s">
        <v>23</v>
      </c>
    </row>
    <row r="35" spans="2:4" x14ac:dyDescent="0.25">
      <c r="B35" s="52" t="s">
        <v>24</v>
      </c>
      <c r="C35" s="53">
        <f>VLOOKUP($C$31&amp;"-"&amp;B35,Planilha2!$A:$D,4,FALSE)</f>
        <v>0.3</v>
      </c>
      <c r="D35" s="54">
        <f>C35*$C$32</f>
        <v>360</v>
      </c>
    </row>
    <row r="36" spans="2:4" x14ac:dyDescent="0.25">
      <c r="B36" s="52" t="s">
        <v>25</v>
      </c>
      <c r="C36" s="53">
        <f>VLOOKUP($C$31&amp;"-"&amp;B36,Planilha2!$A:$D,4,FALSE)</f>
        <v>0.5</v>
      </c>
      <c r="D36" s="54">
        <f t="shared" ref="D36:D40" si="0">C36*$C$32</f>
        <v>600</v>
      </c>
    </row>
    <row r="37" spans="2:4" x14ac:dyDescent="0.25">
      <c r="B37" s="52" t="s">
        <v>26</v>
      </c>
      <c r="C37" s="53">
        <f>VLOOKUP($C$31&amp;"-"&amp;B37,Planilha2!$A:$D,4,FALSE)</f>
        <v>0.1</v>
      </c>
      <c r="D37" s="54">
        <f t="shared" si="0"/>
        <v>120</v>
      </c>
    </row>
    <row r="38" spans="2:4" x14ac:dyDescent="0.25">
      <c r="B38" s="52" t="s">
        <v>27</v>
      </c>
      <c r="C38" s="53">
        <f>VLOOKUP($C$31&amp;"-"&amp;B38,Planilha2!$A:$D,4,FALSE)</f>
        <v>0.1</v>
      </c>
      <c r="D38" s="54">
        <f t="shared" si="0"/>
        <v>120</v>
      </c>
    </row>
    <row r="39" spans="2:4" x14ac:dyDescent="0.25">
      <c r="B39" s="52" t="s">
        <v>30</v>
      </c>
      <c r="C39" s="53">
        <f>VLOOKUP($C$31&amp;"-"&amp;B39,Planilha2!$A:$D,4,FALSE)</f>
        <v>0</v>
      </c>
      <c r="D39" s="54">
        <f t="shared" si="0"/>
        <v>0</v>
      </c>
    </row>
    <row r="40" spans="2:4" x14ac:dyDescent="0.25">
      <c r="B40" s="52" t="s">
        <v>28</v>
      </c>
      <c r="C40" s="53">
        <f>VLOOKUP($C$31&amp;"-"&amp;B40,Planilha2!$A:$D,4,FALSE)</f>
        <v>0</v>
      </c>
      <c r="D40" s="54">
        <f t="shared" si="0"/>
        <v>0</v>
      </c>
    </row>
    <row r="41" spans="2:4" x14ac:dyDescent="0.25">
      <c r="B41" s="50"/>
      <c r="C41" s="50"/>
      <c r="D41" s="51">
        <f>SUM(D35:D40)</f>
        <v>1200</v>
      </c>
    </row>
  </sheetData>
  <mergeCells count="11">
    <mergeCell ref="B20:C20"/>
    <mergeCell ref="B21:C21"/>
    <mergeCell ref="B16:D16"/>
    <mergeCell ref="B11:D11"/>
    <mergeCell ref="B23:C23"/>
    <mergeCell ref="B12:C12"/>
    <mergeCell ref="B13:C13"/>
    <mergeCell ref="B14:C14"/>
    <mergeCell ref="B17:C17"/>
    <mergeCell ref="B18:C18"/>
    <mergeCell ref="B19:C19"/>
  </mergeCells>
  <dataValidations count="1">
    <dataValidation type="list" allowBlank="1" showInputMessage="1" showErrorMessage="1" sqref="C31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G12" sqref="G12"/>
    </sheetView>
  </sheetViews>
  <sheetFormatPr defaultRowHeight="15" x14ac:dyDescent="0.25"/>
  <cols>
    <col min="1" max="1" width="30.28515625" bestFit="1" customWidth="1"/>
    <col min="2" max="2" width="12.140625" bestFit="1" customWidth="1"/>
    <col min="3" max="3" width="20.5703125" bestFit="1" customWidth="1"/>
    <col min="7" max="7" width="17" bestFit="1" customWidth="1"/>
    <col min="8" max="8" width="14.7109375" customWidth="1"/>
  </cols>
  <sheetData>
    <row r="2" spans="1:8" x14ac:dyDescent="0.25">
      <c r="A2" t="s">
        <v>31</v>
      </c>
      <c r="B2" t="s">
        <v>20</v>
      </c>
      <c r="C2" s="3" t="s">
        <v>21</v>
      </c>
      <c r="D2" s="3" t="s">
        <v>29</v>
      </c>
      <c r="H2" t="s">
        <v>29</v>
      </c>
    </row>
    <row r="3" spans="1:8" x14ac:dyDescent="0.25">
      <c r="A3" t="str">
        <f>B3&amp;"-"&amp;C3</f>
        <v>Conservador-PAPEL</v>
      </c>
      <c r="B3" t="s">
        <v>17</v>
      </c>
      <c r="C3" s="3" t="s">
        <v>24</v>
      </c>
      <c r="D3" s="53">
        <v>0.3</v>
      </c>
      <c r="G3" s="44" t="s">
        <v>32</v>
      </c>
      <c r="H3" s="44">
        <f>VLOOKUP(G3,$A$2:$D$20,4,FALSE)</f>
        <v>0.35</v>
      </c>
    </row>
    <row r="4" spans="1:8" x14ac:dyDescent="0.25">
      <c r="A4" t="str">
        <f t="shared" ref="A4:A20" si="0">B4&amp;"-"&amp;C4</f>
        <v>Conservador-TIJOLO</v>
      </c>
      <c r="B4" t="s">
        <v>17</v>
      </c>
      <c r="C4" s="3" t="s">
        <v>25</v>
      </c>
      <c r="D4" s="53">
        <v>0.5</v>
      </c>
    </row>
    <row r="5" spans="1:8" x14ac:dyDescent="0.25">
      <c r="A5" t="str">
        <f t="shared" si="0"/>
        <v>Conservador-HÍBRIDOS</v>
      </c>
      <c r="B5" t="s">
        <v>17</v>
      </c>
      <c r="C5" s="3" t="s">
        <v>26</v>
      </c>
      <c r="D5" s="53">
        <v>0.1</v>
      </c>
    </row>
    <row r="6" spans="1:8" x14ac:dyDescent="0.25">
      <c r="A6" t="str">
        <f t="shared" si="0"/>
        <v>Conservador-FOF`s</v>
      </c>
      <c r="B6" t="s">
        <v>17</v>
      </c>
      <c r="C6" s="3" t="s">
        <v>27</v>
      </c>
      <c r="D6" s="53">
        <v>0.1</v>
      </c>
    </row>
    <row r="7" spans="1:8" x14ac:dyDescent="0.25">
      <c r="A7" t="str">
        <f t="shared" si="0"/>
        <v>Conservador-DESENVOLVIMENTO</v>
      </c>
      <c r="B7" t="s">
        <v>17</v>
      </c>
      <c r="C7" s="3" t="s">
        <v>30</v>
      </c>
      <c r="D7" s="53">
        <v>0</v>
      </c>
    </row>
    <row r="8" spans="1:8" ht="15.75" thickBot="1" x14ac:dyDescent="0.3">
      <c r="A8" s="55" t="str">
        <f t="shared" si="0"/>
        <v>Conservador-HOTELARIA</v>
      </c>
      <c r="B8" s="55" t="s">
        <v>17</v>
      </c>
      <c r="C8" s="56" t="s">
        <v>28</v>
      </c>
      <c r="D8" s="57">
        <v>0</v>
      </c>
    </row>
    <row r="9" spans="1:8" x14ac:dyDescent="0.25">
      <c r="A9" t="str">
        <f t="shared" si="0"/>
        <v>Moderado-PAPEL</v>
      </c>
      <c r="B9" t="s">
        <v>18</v>
      </c>
      <c r="C9" s="3" t="s">
        <v>24</v>
      </c>
      <c r="D9" s="53">
        <v>0.32</v>
      </c>
    </row>
    <row r="10" spans="1:8" x14ac:dyDescent="0.25">
      <c r="A10" t="str">
        <f t="shared" si="0"/>
        <v>Moderado-TIJOLO</v>
      </c>
      <c r="B10" t="s">
        <v>18</v>
      </c>
      <c r="C10" s="3" t="s">
        <v>25</v>
      </c>
      <c r="D10" s="53">
        <v>0.35</v>
      </c>
    </row>
    <row r="11" spans="1:8" x14ac:dyDescent="0.25">
      <c r="A11" t="str">
        <f t="shared" si="0"/>
        <v>Moderado-HÍBRIDOS</v>
      </c>
      <c r="B11" t="s">
        <v>18</v>
      </c>
      <c r="C11" s="3" t="s">
        <v>26</v>
      </c>
      <c r="D11" s="53">
        <v>0.08</v>
      </c>
    </row>
    <row r="12" spans="1:8" x14ac:dyDescent="0.25">
      <c r="A12" t="str">
        <f t="shared" si="0"/>
        <v>Moderado-FOF`s</v>
      </c>
      <c r="B12" t="s">
        <v>18</v>
      </c>
      <c r="C12" s="3" t="s">
        <v>27</v>
      </c>
      <c r="D12" s="53">
        <v>0.05</v>
      </c>
    </row>
    <row r="13" spans="1:8" x14ac:dyDescent="0.25">
      <c r="A13" t="str">
        <f>B13&amp;"-"&amp;C13</f>
        <v>Moderado-DESENVOLVIMENTO</v>
      </c>
      <c r="B13" t="s">
        <v>18</v>
      </c>
      <c r="C13" s="3" t="s">
        <v>30</v>
      </c>
      <c r="D13" s="53">
        <v>0.1</v>
      </c>
    </row>
    <row r="14" spans="1:8" ht="15.75" thickBot="1" x14ac:dyDescent="0.3">
      <c r="A14" s="55" t="str">
        <f t="shared" si="0"/>
        <v>Moderado-HOTELARIA</v>
      </c>
      <c r="B14" s="55" t="s">
        <v>18</v>
      </c>
      <c r="C14" s="56" t="s">
        <v>28</v>
      </c>
      <c r="D14" s="57">
        <v>0.1</v>
      </c>
    </row>
    <row r="15" spans="1:8" x14ac:dyDescent="0.25">
      <c r="A15" t="str">
        <f t="shared" si="0"/>
        <v>Agressivo-PAPEL</v>
      </c>
      <c r="B15" t="s">
        <v>16</v>
      </c>
      <c r="C15" s="3" t="s">
        <v>24</v>
      </c>
      <c r="D15" s="53">
        <v>0.5</v>
      </c>
    </row>
    <row r="16" spans="1:8" x14ac:dyDescent="0.25">
      <c r="A16" t="str">
        <f t="shared" si="0"/>
        <v>Agressivo-TIJOLO</v>
      </c>
      <c r="B16" t="s">
        <v>16</v>
      </c>
      <c r="C16" s="3" t="s">
        <v>25</v>
      </c>
      <c r="D16" s="53">
        <v>0.1</v>
      </c>
    </row>
    <row r="17" spans="1:4" x14ac:dyDescent="0.25">
      <c r="A17" t="str">
        <f t="shared" si="0"/>
        <v>Agressivo-HÍBRIDOS</v>
      </c>
      <c r="B17" t="s">
        <v>16</v>
      </c>
      <c r="C17" s="3" t="s">
        <v>26</v>
      </c>
      <c r="D17" s="53">
        <v>0.05</v>
      </c>
    </row>
    <row r="18" spans="1:4" x14ac:dyDescent="0.25">
      <c r="A18" t="str">
        <f t="shared" si="0"/>
        <v>Agressivo-FOF`s</v>
      </c>
      <c r="B18" t="s">
        <v>16</v>
      </c>
      <c r="C18" s="3" t="s">
        <v>27</v>
      </c>
      <c r="D18" s="53">
        <v>0.05</v>
      </c>
    </row>
    <row r="19" spans="1:4" x14ac:dyDescent="0.25">
      <c r="A19" t="str">
        <f>B19&amp;"-"&amp;C19</f>
        <v>Agressivo-DESENVOLVIMENTO</v>
      </c>
      <c r="B19" t="s">
        <v>16</v>
      </c>
      <c r="C19" s="3" t="s">
        <v>30</v>
      </c>
      <c r="D19" s="53">
        <v>0.2</v>
      </c>
    </row>
    <row r="20" spans="1:4" x14ac:dyDescent="0.25">
      <c r="A20" t="str">
        <f t="shared" si="0"/>
        <v>Agressivo-HOTELARIA</v>
      </c>
      <c r="B20" t="s">
        <v>16</v>
      </c>
      <c r="C20" s="3" t="s">
        <v>28</v>
      </c>
      <c r="D20" s="5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Projeto-Controle de Investimeto</vt:lpstr>
      <vt:lpstr>Planilha2</vt:lpstr>
      <vt:lpstr>Aporte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2026-09-24T13:33:32Z</dcterms:created>
  <dcterms:modified xsi:type="dcterms:W3CDTF">2026-09-24T18:57:17Z</dcterms:modified>
</cp:coreProperties>
</file>